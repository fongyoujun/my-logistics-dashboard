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ngy\Downloads\"/>
    </mc:Choice>
  </mc:AlternateContent>
  <xr:revisionPtr revIDLastSave="0" documentId="13_ncr:1_{B15B89E3-9CA7-48FC-AA04-3B454D366205}" xr6:coauthVersionLast="47" xr6:coauthVersionMax="47" xr10:uidLastSave="{00000000-0000-0000-0000-000000000000}"/>
  <bookViews>
    <workbookView xWindow="-110" yWindow="-110" windowWidth="29660" windowHeight="17900" xr2:uid="{00000000-000D-0000-FFFF-FFFF00000000}"/>
  </bookViews>
  <sheets>
    <sheet name="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M29" i="2"/>
  <c r="L29" i="2"/>
  <c r="L3" i="2"/>
  <c r="M3" i="2"/>
  <c r="N3" i="2"/>
  <c r="L4" i="2"/>
  <c r="M4" i="2"/>
  <c r="N4" i="2"/>
  <c r="L5" i="2"/>
  <c r="M5" i="2"/>
  <c r="N5" i="2"/>
  <c r="L6" i="2"/>
  <c r="M6" i="2"/>
  <c r="N6" i="2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N2" i="2"/>
  <c r="M2" i="2"/>
  <c r="L2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720B4-AB54-419C-B2EC-92E2658A9E5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EB74846-D53A-46D9-91B2-2D1388D47B8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333103E5-98D3-42C3-9844-984265F563B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3EE3720C-F8FD-4E62-AB1D-AC4AA62E7AB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<sst xmlns="http://schemas.openxmlformats.org/spreadsheetml/2006/main" count="62" uniqueCount="38">
  <si>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</si>
  <si>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</si>
  <si>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</si>
  <si>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</si>
  <si>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</si>
  <si>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</si>
  <si>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</si>
  <si>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</si>
  <si>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</si>
  <si>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</si>
  <si>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</si>
  <si>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</si>
  <si>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BCN-PO</t>
  </si>
  <si>
    <t>LCL-PO</t>
  </si>
  <si>
    <t>FCL-PO</t>
  </si>
  <si>
    <t>LCL/CBM</t>
  </si>
  <si>
    <t>FCL/CBM</t>
  </si>
  <si>
    <t>BCN/CBM</t>
  </si>
  <si>
    <t>FCL-AVG CBM/PO</t>
  </si>
  <si>
    <t>BCN-AVG CBM/PO</t>
  </si>
  <si>
    <t>LCL-AVG CBM/PO</t>
  </si>
  <si>
    <t>MO</t>
  </si>
  <si>
    <t>YEAR</t>
  </si>
  <si>
    <t>BCN-ITEM</t>
  </si>
  <si>
    <t>LCL-ITEM</t>
  </si>
  <si>
    <t>FCL-ITEM</t>
  </si>
  <si>
    <t>LCL-COST</t>
  </si>
  <si>
    <t>BCN-20 COST</t>
  </si>
  <si>
    <t>BCN-40 COST</t>
  </si>
  <si>
    <t>FCL-20 COST</t>
  </si>
  <si>
    <t>FCL-40 COST</t>
  </si>
  <si>
    <t>FCL-20</t>
    <phoneticPr fontId="1" type="noConversion"/>
  </si>
  <si>
    <t>FCL-40</t>
    <phoneticPr fontId="1" type="noConversion"/>
  </si>
  <si>
    <t>BCN-20</t>
    <phoneticPr fontId="1" type="noConversion"/>
  </si>
  <si>
    <t>BCN-40</t>
    <phoneticPr fontId="1" type="noConversion"/>
  </si>
  <si>
    <t>LCL-BL</t>
    <phoneticPr fontId="1" type="noConversion"/>
  </si>
  <si>
    <t>BCN-BL</t>
    <phoneticPr fontId="1" type="noConversion"/>
  </si>
  <si>
    <t>FCL-BL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</si>
</sst>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8EC9-FBE9-4305-840F-302F9E5285DF}">
  <dimension ref="A1:Z37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9.1640625" defaultRowHeight="14" x14ac:dyDescent="0.3"/>
  <cols>
    <col min="1" max="1" width="9.1640625" style="1"/>
    <col min="2" max="2" width="15.25" style="1" customWidth="1"/>
    <col min="3" max="5" width="9.1640625" style="2"/>
    <col min="6" max="11" width="9.1640625" style="1"/>
    <col min="12" max="12" width="16.75" style="2" customWidth="1"/>
    <col min="13" max="13" width="17.25" style="2" customWidth="1"/>
    <col min="14" max="14" width="17" style="2" customWidth="1"/>
    <col min="15" max="18" width="9.1640625" style="1"/>
    <col min="19" max="19" width="9.58203125" style="1" customWidth="1"/>
    <col min="20" max="20" width="10.75" style="1" customWidth="1"/>
    <col min="21" max="21" width="9.1640625" style="1"/>
    <col min="22" max="22" width="9.4140625" style="1" customWidth="1"/>
    <col min="23" max="24" width="13.25" style="1" customWidth="1"/>
    <col min="25" max="25" width="12.4140625" style="1" customWidth="1"/>
    <col min="26" max="26" width="12.75" style="1" customWidth="1"/>
    <col min="27" max="16384" width="9.1640625" style="1"/>
  </cols>
  <sheetData>
    <row r="1" spans="1:26" x14ac:dyDescent="0.3">
      <c r="A1" s="1" t="s">
        <v>22</v>
      </c>
      <c r="B1" s="1" t="s">
        <v>21</v>
      </c>
      <c r="C1" s="2" t="s">
        <v>15</v>
      </c>
      <c r="D1" s="2" t="s">
        <v>17</v>
      </c>
      <c r="E1" s="2" t="s">
        <v>16</v>
      </c>
      <c r="F1" s="1" t="s">
        <v>13</v>
      </c>
      <c r="G1" s="1" t="s">
        <v>12</v>
      </c>
      <c r="H1" s="1" t="s">
        <v>14</v>
      </c>
      <c r="I1" s="1" t="s">
        <v>35</v>
      </c>
      <c r="J1" s="1" t="s">
        <v>36</v>
      </c>
      <c r="K1" s="1" t="s">
        <v>37</v>
      </c>
      <c r="L1" s="2" t="s">
        <v>18</v>
      </c>
      <c r="M1" s="2" t="s">
        <v>19</v>
      </c>
      <c r="N1" s="2" t="s">
        <v>20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24</v>
      </c>
      <c r="T1" s="1" t="s">
        <v>23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 x14ac:dyDescent="0.3">
      <c r="A2" s="1">
        <v>2024</v>
      </c>
      <c r="B2" s="3" t="s">
        <v>0</v>
      </c>
      <c r="C2" s="2">
        <v>81.710000000000122</v>
      </c>
      <c r="D2" s="2">
        <v>683.72899999999981</v>
      </c>
      <c r="E2" s="2">
        <v>4312.275999999998</v>
      </c>
      <c r="F2" s="1">
        <v>32</v>
      </c>
      <c r="G2" s="1">
        <v>106</v>
      </c>
      <c r="H2" s="1">
        <v>50</v>
      </c>
      <c r="I2" s="1">
        <v>31</v>
      </c>
      <c r="J2" s="1">
        <v>99</v>
      </c>
      <c r="K2" s="1">
        <v>33</v>
      </c>
      <c r="L2" s="2">
        <f t="shared" ref="L2:L28" si="0">E2/H2</f>
        <v>86.245519999999956</v>
      </c>
      <c r="M2" s="2">
        <f t="shared" ref="M2:M28" si="1">D2/G2</f>
        <v>6.4502735849056583</v>
      </c>
      <c r="N2" s="2">
        <f t="shared" ref="N2:N28" si="2">C2/F2</f>
        <v>2.5534375000000038</v>
      </c>
      <c r="O2" s="1">
        <v>3</v>
      </c>
      <c r="P2" s="1">
        <v>68</v>
      </c>
      <c r="Q2" s="1">
        <v>3</v>
      </c>
      <c r="R2" s="1">
        <v>13</v>
      </c>
      <c r="S2" s="1">
        <v>131</v>
      </c>
      <c r="T2" s="1">
        <v>364</v>
      </c>
      <c r="U2" s="1">
        <v>235</v>
      </c>
      <c r="V2" s="1">
        <v>39166.990000000005</v>
      </c>
      <c r="W2" s="1">
        <v>23421.4</v>
      </c>
      <c r="X2" s="1">
        <v>140682.64000000001</v>
      </c>
      <c r="Y2" s="1">
        <v>13369.48</v>
      </c>
      <c r="Z2" s="1">
        <v>517136.59000000008</v>
      </c>
    </row>
    <row r="3" spans="1:26" x14ac:dyDescent="0.3">
      <c r="A3" s="1">
        <v>2024</v>
      </c>
      <c r="B3" s="3" t="s">
        <v>1</v>
      </c>
      <c r="C3" s="2">
        <v>44.383999999999993</v>
      </c>
      <c r="D3" s="2">
        <v>354.02199999999971</v>
      </c>
      <c r="E3" s="2">
        <v>1256.0160000000001</v>
      </c>
      <c r="F3" s="1">
        <v>19</v>
      </c>
      <c r="G3" s="1">
        <v>62</v>
      </c>
      <c r="H3" s="1">
        <v>26</v>
      </c>
      <c r="I3" s="1">
        <v>15</v>
      </c>
      <c r="J3" s="1">
        <v>49</v>
      </c>
      <c r="K3" s="1">
        <v>15</v>
      </c>
      <c r="L3" s="2">
        <f t="shared" si="0"/>
        <v>48.308307692307693</v>
      </c>
      <c r="M3" s="2">
        <f t="shared" si="1"/>
        <v>5.7100322580645111</v>
      </c>
      <c r="N3" s="2">
        <f t="shared" si="2"/>
        <v>2.3359999999999999</v>
      </c>
      <c r="O3" s="1">
        <v>5</v>
      </c>
      <c r="P3" s="1">
        <v>19</v>
      </c>
      <c r="Q3" s="1">
        <v>1</v>
      </c>
      <c r="R3" s="1">
        <v>6</v>
      </c>
      <c r="S3" s="1">
        <v>84</v>
      </c>
      <c r="T3" s="1">
        <v>189</v>
      </c>
      <c r="U3" s="1">
        <v>159</v>
      </c>
      <c r="V3" s="1">
        <v>19720.929999999978</v>
      </c>
      <c r="W3" s="1">
        <v>6062.7299999999914</v>
      </c>
      <c r="X3" s="1">
        <v>48632.350000000049</v>
      </c>
      <c r="Y3" s="1">
        <v>22539.530000000006</v>
      </c>
      <c r="Z3" s="1">
        <v>132841.49999999997</v>
      </c>
    </row>
    <row r="4" spans="1:26" x14ac:dyDescent="0.3">
      <c r="A4" s="1">
        <v>2024</v>
      </c>
      <c r="B4" s="3" t="s">
        <v>2</v>
      </c>
      <c r="C4" s="2">
        <v>65.472999999999999</v>
      </c>
      <c r="D4" s="2">
        <v>326.01700000000005</v>
      </c>
      <c r="E4" s="2">
        <v>1045.665</v>
      </c>
      <c r="F4" s="1">
        <v>27</v>
      </c>
      <c r="G4" s="1">
        <v>57</v>
      </c>
      <c r="H4" s="1">
        <v>29</v>
      </c>
      <c r="I4" s="1">
        <v>24</v>
      </c>
      <c r="J4" s="1">
        <v>43</v>
      </c>
      <c r="K4" s="1">
        <v>17</v>
      </c>
      <c r="L4" s="2">
        <f t="shared" si="0"/>
        <v>36.05741379310345</v>
      </c>
      <c r="M4" s="2">
        <f t="shared" si="1"/>
        <v>5.7195964912280708</v>
      </c>
      <c r="N4" s="2">
        <f t="shared" si="2"/>
        <v>2.4249259259259257</v>
      </c>
      <c r="O4" s="1">
        <v>9</v>
      </c>
      <c r="P4" s="1">
        <v>14</v>
      </c>
      <c r="Q4" s="1">
        <v>0</v>
      </c>
      <c r="R4" s="1">
        <v>7</v>
      </c>
      <c r="S4" s="1">
        <v>78</v>
      </c>
      <c r="T4" s="1">
        <v>327</v>
      </c>
      <c r="U4" s="1">
        <v>223</v>
      </c>
      <c r="V4" s="1">
        <v>34168.040000000015</v>
      </c>
      <c r="W4" s="1">
        <v>0</v>
      </c>
      <c r="X4" s="1">
        <v>48135.270000000004</v>
      </c>
      <c r="Y4" s="1">
        <v>52036.130000000041</v>
      </c>
      <c r="Z4" s="1">
        <v>98677.98000000001</v>
      </c>
    </row>
    <row r="5" spans="1:26" x14ac:dyDescent="0.3">
      <c r="A5" s="1">
        <v>2024</v>
      </c>
      <c r="B5" s="3" t="s">
        <v>3</v>
      </c>
      <c r="C5" s="2">
        <v>56.302000000000007</v>
      </c>
      <c r="D5" s="2">
        <v>926.27699999999766</v>
      </c>
      <c r="E5" s="2">
        <v>1629.106</v>
      </c>
      <c r="F5" s="1">
        <v>22</v>
      </c>
      <c r="G5" s="1">
        <v>178</v>
      </c>
      <c r="H5" s="1">
        <v>38</v>
      </c>
      <c r="I5" s="1">
        <v>15</v>
      </c>
      <c r="J5" s="1">
        <v>134</v>
      </c>
      <c r="K5" s="1">
        <v>26</v>
      </c>
      <c r="L5" s="2">
        <f t="shared" si="0"/>
        <v>42.871210526315792</v>
      </c>
      <c r="M5" s="2">
        <f t="shared" si="1"/>
        <v>5.2038033707865035</v>
      </c>
      <c r="N5" s="2">
        <f t="shared" si="2"/>
        <v>2.5591818181818184</v>
      </c>
      <c r="O5" s="1">
        <v>7</v>
      </c>
      <c r="P5" s="1">
        <v>25</v>
      </c>
      <c r="Q5" s="1">
        <v>5</v>
      </c>
      <c r="R5" s="1">
        <v>14</v>
      </c>
      <c r="S5" s="1">
        <v>79</v>
      </c>
      <c r="T5" s="1">
        <v>832</v>
      </c>
      <c r="U5" s="1">
        <v>382</v>
      </c>
      <c r="V5" s="1">
        <v>21963.74</v>
      </c>
      <c r="W5" s="1">
        <v>27726.64000000001</v>
      </c>
      <c r="X5" s="1">
        <v>81916.760000000038</v>
      </c>
      <c r="Y5" s="1">
        <v>24923.069999999978</v>
      </c>
      <c r="Z5" s="1">
        <v>125088.74000000002</v>
      </c>
    </row>
    <row r="6" spans="1:26" x14ac:dyDescent="0.3">
      <c r="A6" s="1">
        <v>2024</v>
      </c>
      <c r="B6" s="3" t="s">
        <v>4</v>
      </c>
      <c r="C6" s="2">
        <v>90.968999999999994</v>
      </c>
      <c r="D6" s="2">
        <v>892.4349999999996</v>
      </c>
      <c r="E6" s="2">
        <v>1657.9639999999999</v>
      </c>
      <c r="F6" s="1">
        <v>35</v>
      </c>
      <c r="G6" s="1">
        <v>160</v>
      </c>
      <c r="H6" s="1">
        <v>44</v>
      </c>
      <c r="I6" s="1">
        <v>27</v>
      </c>
      <c r="J6" s="1">
        <v>118</v>
      </c>
      <c r="K6" s="1">
        <v>27</v>
      </c>
      <c r="L6" s="2">
        <f t="shared" si="0"/>
        <v>37.680999999999997</v>
      </c>
      <c r="M6" s="2">
        <f t="shared" si="1"/>
        <v>5.5777187499999972</v>
      </c>
      <c r="N6" s="2">
        <f t="shared" si="2"/>
        <v>2.5991142857142857</v>
      </c>
      <c r="O6" s="1">
        <v>14</v>
      </c>
      <c r="P6" s="1">
        <v>22</v>
      </c>
      <c r="Q6" s="1">
        <v>3</v>
      </c>
      <c r="R6" s="1">
        <v>15</v>
      </c>
      <c r="S6" s="1">
        <v>142</v>
      </c>
      <c r="T6" s="1">
        <v>513</v>
      </c>
      <c r="U6" s="1">
        <v>330</v>
      </c>
      <c r="V6" s="1">
        <v>42209.359999999986</v>
      </c>
      <c r="W6" s="1">
        <v>16096.509999999989</v>
      </c>
      <c r="X6" s="1">
        <v>96028.929999999949</v>
      </c>
      <c r="Y6" s="1">
        <v>69053.870000000024</v>
      </c>
      <c r="Z6" s="1">
        <v>144625.74000000005</v>
      </c>
    </row>
    <row r="7" spans="1:26" x14ac:dyDescent="0.3">
      <c r="A7" s="1">
        <v>2024</v>
      </c>
      <c r="B7" s="3" t="s">
        <v>5</v>
      </c>
      <c r="C7" s="2">
        <v>127.37099999999998</v>
      </c>
      <c r="D7" s="2">
        <v>378.45000000000005</v>
      </c>
      <c r="E7" s="2">
        <v>1855.6790000000005</v>
      </c>
      <c r="F7" s="1">
        <v>48</v>
      </c>
      <c r="G7" s="1">
        <v>94</v>
      </c>
      <c r="H7" s="1">
        <v>46</v>
      </c>
      <c r="I7" s="1">
        <v>30</v>
      </c>
      <c r="J7" s="1">
        <v>76</v>
      </c>
      <c r="K7" s="1">
        <v>29</v>
      </c>
      <c r="L7" s="2">
        <f t="shared" si="0"/>
        <v>40.340847826086971</v>
      </c>
      <c r="M7" s="2">
        <f t="shared" si="1"/>
        <v>4.0260638297872342</v>
      </c>
      <c r="N7" s="2">
        <f t="shared" si="2"/>
        <v>2.6535624999999996</v>
      </c>
      <c r="O7" s="1">
        <v>9</v>
      </c>
      <c r="P7" s="1">
        <v>26</v>
      </c>
      <c r="Q7" s="1">
        <v>2</v>
      </c>
      <c r="R7" s="1">
        <v>7</v>
      </c>
      <c r="S7" s="1">
        <v>157</v>
      </c>
      <c r="T7" s="1">
        <v>341</v>
      </c>
      <c r="U7" s="1">
        <v>195</v>
      </c>
      <c r="V7" s="1">
        <v>47344.45</v>
      </c>
      <c r="W7" s="1">
        <v>8480.1299999999974</v>
      </c>
      <c r="X7" s="1">
        <v>42081.679999999964</v>
      </c>
      <c r="Y7" s="1">
        <v>47907.329999999994</v>
      </c>
      <c r="Z7" s="1">
        <v>160920.99000000008</v>
      </c>
    </row>
    <row r="8" spans="1:26" x14ac:dyDescent="0.3">
      <c r="A8" s="1">
        <v>2024</v>
      </c>
      <c r="B8" s="3" t="s">
        <v>6</v>
      </c>
      <c r="C8" s="2">
        <v>71.662999999999997</v>
      </c>
      <c r="D8" s="2">
        <v>594.90000000000009</v>
      </c>
      <c r="E8" s="2">
        <v>865.52800000000002</v>
      </c>
      <c r="F8" s="1">
        <v>43</v>
      </c>
      <c r="G8" s="1">
        <v>84</v>
      </c>
      <c r="H8" s="1">
        <v>36</v>
      </c>
      <c r="I8" s="1">
        <v>27</v>
      </c>
      <c r="J8" s="1">
        <v>64</v>
      </c>
      <c r="K8" s="1">
        <v>22</v>
      </c>
      <c r="L8" s="2">
        <f t="shared" si="0"/>
        <v>24.042444444444445</v>
      </c>
      <c r="M8" s="2">
        <f t="shared" si="1"/>
        <v>7.0821428571428582</v>
      </c>
      <c r="N8" s="2">
        <f t="shared" si="2"/>
        <v>1.6665813953488371</v>
      </c>
      <c r="O8" s="1">
        <v>9</v>
      </c>
      <c r="P8" s="1">
        <v>15</v>
      </c>
      <c r="Q8" s="1">
        <v>2</v>
      </c>
      <c r="R8" s="1">
        <v>10</v>
      </c>
      <c r="S8" s="1">
        <v>187</v>
      </c>
      <c r="T8" s="1">
        <v>345</v>
      </c>
      <c r="U8" s="1">
        <v>300</v>
      </c>
      <c r="V8" s="1">
        <v>38417.049999999988</v>
      </c>
      <c r="W8" s="1">
        <v>12162.379999999983</v>
      </c>
      <c r="X8" s="1">
        <v>75234.320000000007</v>
      </c>
      <c r="Y8" s="1">
        <v>40389.439999999959</v>
      </c>
      <c r="Z8" s="1">
        <v>99959.820000000036</v>
      </c>
    </row>
    <row r="9" spans="1:26" x14ac:dyDescent="0.3">
      <c r="A9" s="1">
        <v>2024</v>
      </c>
      <c r="B9" s="3" t="s">
        <v>7</v>
      </c>
      <c r="C9" s="2">
        <v>122.81500000000024</v>
      </c>
      <c r="D9" s="2">
        <v>988.06499999999824</v>
      </c>
      <c r="E9" s="2">
        <v>2240.1860000000001</v>
      </c>
      <c r="F9" s="1">
        <v>50</v>
      </c>
      <c r="G9" s="1">
        <v>190</v>
      </c>
      <c r="H9" s="1">
        <v>48</v>
      </c>
      <c r="I9" s="1">
        <v>40</v>
      </c>
      <c r="J9" s="1">
        <v>133</v>
      </c>
      <c r="K9" s="1">
        <v>32</v>
      </c>
      <c r="L9" s="2">
        <f t="shared" si="0"/>
        <v>46.670541666666672</v>
      </c>
      <c r="M9" s="2">
        <f t="shared" si="1"/>
        <v>5.2003421052631484</v>
      </c>
      <c r="N9" s="2">
        <f t="shared" si="2"/>
        <v>2.4563000000000046</v>
      </c>
      <c r="O9" s="1">
        <v>16</v>
      </c>
      <c r="P9" s="1">
        <v>31</v>
      </c>
      <c r="Q9" s="1">
        <v>5</v>
      </c>
      <c r="R9" s="1">
        <v>16</v>
      </c>
      <c r="S9" s="1">
        <v>252</v>
      </c>
      <c r="T9" s="1">
        <v>819</v>
      </c>
      <c r="U9" s="1">
        <v>205</v>
      </c>
      <c r="V9" s="1">
        <v>59080.550000000017</v>
      </c>
      <c r="W9" s="1">
        <v>26549.499999999982</v>
      </c>
      <c r="X9" s="1">
        <v>132258.86999999997</v>
      </c>
      <c r="Y9" s="1">
        <v>73275.5</v>
      </c>
      <c r="Z9" s="1">
        <v>267620.09999999998</v>
      </c>
    </row>
    <row r="10" spans="1:26" x14ac:dyDescent="0.3">
      <c r="A10" s="1">
        <v>2024</v>
      </c>
      <c r="B10" s="3" t="s">
        <v>8</v>
      </c>
      <c r="C10" s="2">
        <v>134.61800000000005</v>
      </c>
      <c r="D10" s="2">
        <v>827.01099999999906</v>
      </c>
      <c r="E10" s="2">
        <v>2716.9199999999996</v>
      </c>
      <c r="F10" s="1">
        <v>49</v>
      </c>
      <c r="G10" s="1">
        <v>176</v>
      </c>
      <c r="H10" s="1">
        <v>59</v>
      </c>
      <c r="I10" s="1">
        <v>33</v>
      </c>
      <c r="J10" s="1">
        <v>127</v>
      </c>
      <c r="K10" s="1">
        <v>39</v>
      </c>
      <c r="L10" s="2">
        <f t="shared" si="0"/>
        <v>46.049491525423726</v>
      </c>
      <c r="M10" s="2">
        <f t="shared" si="1"/>
        <v>4.6989261363636308</v>
      </c>
      <c r="N10" s="2">
        <f t="shared" si="2"/>
        <v>2.7473061224489808</v>
      </c>
      <c r="O10" s="1">
        <v>11</v>
      </c>
      <c r="P10" s="1">
        <v>41</v>
      </c>
      <c r="Q10" s="1">
        <v>4</v>
      </c>
      <c r="R10" s="1">
        <v>13</v>
      </c>
      <c r="S10" s="1">
        <v>154</v>
      </c>
      <c r="T10" s="1">
        <v>535</v>
      </c>
      <c r="U10" s="1">
        <v>523</v>
      </c>
      <c r="V10" s="1">
        <v>59584.67</v>
      </c>
      <c r="W10" s="1">
        <v>22273.14000000001</v>
      </c>
      <c r="X10" s="1">
        <v>122496.11999999998</v>
      </c>
      <c r="Y10" s="1">
        <v>84867.449999999968</v>
      </c>
      <c r="Z10" s="1">
        <v>392286.85000000003</v>
      </c>
    </row>
    <row r="11" spans="1:26" x14ac:dyDescent="0.3">
      <c r="A11" s="1">
        <v>2024</v>
      </c>
      <c r="B11" s="3" t="s">
        <v>9</v>
      </c>
      <c r="C11" s="2">
        <v>91.806999999999917</v>
      </c>
      <c r="D11" s="2">
        <v>435.91599999999892</v>
      </c>
      <c r="E11" s="2">
        <v>3302.2029999999991</v>
      </c>
      <c r="F11" s="1">
        <v>42</v>
      </c>
      <c r="G11" s="1">
        <v>74</v>
      </c>
      <c r="H11" s="1">
        <v>55</v>
      </c>
      <c r="I11" s="1">
        <v>29</v>
      </c>
      <c r="J11" s="1">
        <v>52</v>
      </c>
      <c r="K11" s="1">
        <v>40</v>
      </c>
      <c r="L11" s="2">
        <f t="shared" si="0"/>
        <v>60.040054545454531</v>
      </c>
      <c r="M11" s="2">
        <f t="shared" si="1"/>
        <v>5.8907567567567423</v>
      </c>
      <c r="N11" s="2">
        <f t="shared" si="2"/>
        <v>2.1858809523809506</v>
      </c>
      <c r="O11" s="1">
        <v>13</v>
      </c>
      <c r="P11" s="1">
        <v>49</v>
      </c>
      <c r="Q11" s="1">
        <v>2</v>
      </c>
      <c r="R11" s="1">
        <v>7</v>
      </c>
      <c r="S11" s="1">
        <v>163</v>
      </c>
      <c r="T11" s="1">
        <v>377</v>
      </c>
      <c r="U11" s="1">
        <v>448</v>
      </c>
      <c r="V11" s="1">
        <v>42813.279999999999</v>
      </c>
      <c r="W11" s="1">
        <v>14052.14000000001</v>
      </c>
      <c r="X11" s="1">
        <v>62951.590000000026</v>
      </c>
      <c r="Y11" s="1">
        <v>88181.969999999943</v>
      </c>
      <c r="Z11" s="1">
        <v>451727.02</v>
      </c>
    </row>
    <row r="12" spans="1:26" x14ac:dyDescent="0.3">
      <c r="A12" s="1">
        <v>2024</v>
      </c>
      <c r="B12" s="3" t="s">
        <v>10</v>
      </c>
      <c r="C12" s="2">
        <v>58.35499999999994</v>
      </c>
      <c r="D12" s="2">
        <v>610.47899999999947</v>
      </c>
      <c r="E12" s="2">
        <v>2027.6649999999997</v>
      </c>
      <c r="F12" s="1">
        <v>25</v>
      </c>
      <c r="G12" s="1">
        <v>121</v>
      </c>
      <c r="H12" s="1">
        <v>49</v>
      </c>
      <c r="I12" s="1">
        <v>18</v>
      </c>
      <c r="J12" s="1">
        <v>85</v>
      </c>
      <c r="K12" s="1">
        <v>29</v>
      </c>
      <c r="L12" s="2">
        <f t="shared" si="0"/>
        <v>41.380918367346936</v>
      </c>
      <c r="M12" s="2">
        <f t="shared" si="1"/>
        <v>5.0452809917355328</v>
      </c>
      <c r="N12" s="2">
        <f t="shared" si="2"/>
        <v>2.3341999999999974</v>
      </c>
      <c r="O12" s="1">
        <v>8</v>
      </c>
      <c r="P12" s="1">
        <v>30</v>
      </c>
      <c r="Q12" s="1">
        <v>7</v>
      </c>
      <c r="R12" s="1">
        <v>8</v>
      </c>
      <c r="S12" s="1">
        <v>130</v>
      </c>
      <c r="T12" s="1">
        <v>699</v>
      </c>
      <c r="U12" s="1">
        <v>231</v>
      </c>
      <c r="V12" s="1">
        <v>31176.260000000009</v>
      </c>
      <c r="W12" s="1">
        <v>56023.460000000006</v>
      </c>
      <c r="X12" s="1">
        <v>83124.02</v>
      </c>
      <c r="Y12" s="1">
        <v>48129.78</v>
      </c>
      <c r="Z12" s="1">
        <v>280263</v>
      </c>
    </row>
    <row r="13" spans="1:26" x14ac:dyDescent="0.3">
      <c r="A13" s="1">
        <v>2024</v>
      </c>
      <c r="B13" s="3" t="s">
        <v>11</v>
      </c>
      <c r="C13" s="2">
        <v>96.414999999999964</v>
      </c>
      <c r="D13" s="2">
        <v>461.93000000000006</v>
      </c>
      <c r="E13" s="2">
        <v>2101.7579999999994</v>
      </c>
      <c r="F13" s="1">
        <v>52</v>
      </c>
      <c r="G13" s="1">
        <v>102</v>
      </c>
      <c r="H13" s="1">
        <v>43</v>
      </c>
      <c r="I13" s="1">
        <v>31</v>
      </c>
      <c r="J13" s="1">
        <v>73</v>
      </c>
      <c r="K13" s="1">
        <v>27</v>
      </c>
      <c r="L13" s="2">
        <f t="shared" si="0"/>
        <v>48.878093023255801</v>
      </c>
      <c r="M13" s="2">
        <f t="shared" si="1"/>
        <v>4.528725490196079</v>
      </c>
      <c r="N13" s="2">
        <f t="shared" si="2"/>
        <v>1.8541346153846148</v>
      </c>
      <c r="O13" s="1">
        <v>7</v>
      </c>
      <c r="P13" s="1">
        <v>31</v>
      </c>
      <c r="Q13" s="1">
        <v>4</v>
      </c>
      <c r="R13" s="1">
        <v>7</v>
      </c>
      <c r="S13" s="1">
        <v>297</v>
      </c>
      <c r="T13" s="1">
        <v>721</v>
      </c>
      <c r="U13" s="1">
        <v>370</v>
      </c>
      <c r="V13" s="1">
        <v>42229.45</v>
      </c>
      <c r="W13" s="1">
        <v>24881.330000000016</v>
      </c>
      <c r="X13" s="1">
        <v>62870.430000000015</v>
      </c>
      <c r="Y13" s="1">
        <v>44168.079999999994</v>
      </c>
      <c r="Z13" s="1">
        <v>282179.36999999994</v>
      </c>
    </row>
    <row r="14" spans="1:26" x14ac:dyDescent="0.3">
      <c r="A14" s="1">
        <v>2025</v>
      </c>
      <c r="B14" s="3" t="s">
        <v>0</v>
      </c>
      <c r="C14" s="2">
        <v>83.687000000000012</v>
      </c>
      <c r="D14" s="2">
        <v>382.31200000000013</v>
      </c>
      <c r="E14" s="2">
        <v>2155.9200000000005</v>
      </c>
      <c r="F14" s="1">
        <v>42</v>
      </c>
      <c r="G14" s="1">
        <v>102</v>
      </c>
      <c r="H14" s="1">
        <v>47</v>
      </c>
      <c r="I14" s="1">
        <v>24</v>
      </c>
      <c r="J14" s="1">
        <v>72</v>
      </c>
      <c r="K14" s="1">
        <v>30</v>
      </c>
      <c r="L14" s="2">
        <f t="shared" si="0"/>
        <v>45.870638297872354</v>
      </c>
      <c r="M14" s="2">
        <f t="shared" si="1"/>
        <v>3.7481568627450992</v>
      </c>
      <c r="N14" s="2">
        <f t="shared" si="2"/>
        <v>1.9925476190476192</v>
      </c>
      <c r="O14" s="1">
        <v>13</v>
      </c>
      <c r="P14" s="1">
        <v>26</v>
      </c>
      <c r="Q14" s="1">
        <v>4</v>
      </c>
      <c r="R14" s="1">
        <v>6</v>
      </c>
      <c r="S14" s="1">
        <v>260</v>
      </c>
      <c r="T14" s="1">
        <v>420</v>
      </c>
      <c r="U14" s="1">
        <v>280</v>
      </c>
      <c r="V14" s="1">
        <v>34051.599999999984</v>
      </c>
      <c r="W14" s="1">
        <v>25209.230000000014</v>
      </c>
      <c r="X14" s="1">
        <v>58868.390000000021</v>
      </c>
      <c r="Y14" s="1">
        <v>68216.169999999969</v>
      </c>
      <c r="Z14" s="1">
        <v>232415.30000000008</v>
      </c>
    </row>
    <row r="15" spans="1:26" x14ac:dyDescent="0.3">
      <c r="A15" s="1">
        <v>2025</v>
      </c>
      <c r="B15" s="3" t="s">
        <v>1</v>
      </c>
      <c r="C15" s="2">
        <v>25.752000000000013</v>
      </c>
      <c r="D15" s="2">
        <v>254.8799999999996</v>
      </c>
      <c r="E15" s="2">
        <v>424.17</v>
      </c>
      <c r="F15" s="1">
        <v>23</v>
      </c>
      <c r="G15" s="1">
        <v>75</v>
      </c>
      <c r="H15" s="1">
        <v>15</v>
      </c>
      <c r="I15" s="1">
        <v>14</v>
      </c>
      <c r="J15" s="1">
        <v>38</v>
      </c>
      <c r="K15" s="1">
        <v>9</v>
      </c>
      <c r="L15" s="2">
        <f t="shared" si="0"/>
        <v>28.278000000000002</v>
      </c>
      <c r="M15" s="2">
        <f t="shared" si="1"/>
        <v>3.3983999999999948</v>
      </c>
      <c r="N15" s="2">
        <f t="shared" si="2"/>
        <v>1.1196521739130441</v>
      </c>
      <c r="O15" s="1">
        <v>4</v>
      </c>
      <c r="P15" s="1">
        <v>5</v>
      </c>
      <c r="Q15" s="1">
        <v>2</v>
      </c>
      <c r="R15" s="1">
        <v>4</v>
      </c>
      <c r="S15" s="1">
        <v>62</v>
      </c>
      <c r="T15" s="1">
        <v>354</v>
      </c>
      <c r="U15" s="1">
        <v>71</v>
      </c>
      <c r="V15" s="1">
        <v>18346.579999999998</v>
      </c>
      <c r="W15" s="1">
        <v>8556.8599999999969</v>
      </c>
      <c r="X15" s="1">
        <v>34612.240000000005</v>
      </c>
      <c r="Y15" s="1">
        <v>18767.390000000014</v>
      </c>
      <c r="Z15" s="1">
        <v>35685.940000000061</v>
      </c>
    </row>
    <row r="16" spans="1:26" x14ac:dyDescent="0.3">
      <c r="A16" s="1">
        <v>2025</v>
      </c>
      <c r="B16" s="3" t="s">
        <v>2</v>
      </c>
      <c r="C16" s="2">
        <v>78.084000000000003</v>
      </c>
      <c r="D16" s="2">
        <v>703.94100000000014</v>
      </c>
      <c r="E16" s="2">
        <v>1318.0139999999997</v>
      </c>
      <c r="F16" s="1">
        <v>32</v>
      </c>
      <c r="G16" s="1">
        <v>185</v>
      </c>
      <c r="H16" s="1">
        <v>48</v>
      </c>
      <c r="I16" s="1">
        <v>22</v>
      </c>
      <c r="J16" s="1">
        <v>120</v>
      </c>
      <c r="K16" s="1">
        <v>29</v>
      </c>
      <c r="L16" s="2">
        <f t="shared" si="0"/>
        <v>27.458624999999994</v>
      </c>
      <c r="M16" s="2">
        <f t="shared" si="1"/>
        <v>3.8050864864864873</v>
      </c>
      <c r="N16" s="2">
        <f t="shared" si="2"/>
        <v>2.4401250000000001</v>
      </c>
      <c r="O16" s="1">
        <v>14</v>
      </c>
      <c r="P16" s="1">
        <v>17</v>
      </c>
      <c r="Q16" s="1">
        <v>8</v>
      </c>
      <c r="R16" s="1">
        <v>11</v>
      </c>
      <c r="S16" s="1">
        <v>138</v>
      </c>
      <c r="T16" s="1">
        <v>680</v>
      </c>
      <c r="U16" s="1">
        <v>476</v>
      </c>
      <c r="V16" s="1">
        <v>34747.47</v>
      </c>
      <c r="W16" s="1">
        <v>35322.290000000023</v>
      </c>
      <c r="X16" s="1">
        <v>70142.530000000042</v>
      </c>
      <c r="Y16" s="1">
        <v>53172.349999999991</v>
      </c>
      <c r="Z16" s="1">
        <v>105531.51999999993</v>
      </c>
    </row>
    <row r="17" spans="1:26" x14ac:dyDescent="0.3">
      <c r="A17" s="1">
        <v>2025</v>
      </c>
      <c r="B17" s="3" t="s">
        <v>3</v>
      </c>
      <c r="C17" s="2">
        <v>68.569000000000031</v>
      </c>
      <c r="D17" s="2">
        <v>854.59600000000023</v>
      </c>
      <c r="E17" s="2">
        <v>1881.335</v>
      </c>
      <c r="F17" s="1">
        <v>38</v>
      </c>
      <c r="G17" s="1">
        <v>230</v>
      </c>
      <c r="H17" s="1">
        <v>48</v>
      </c>
      <c r="I17" s="1">
        <v>24</v>
      </c>
      <c r="J17" s="1">
        <v>132</v>
      </c>
      <c r="K17" s="1">
        <v>34</v>
      </c>
      <c r="L17" s="2">
        <f t="shared" si="0"/>
        <v>39.194479166666667</v>
      </c>
      <c r="M17" s="2">
        <f t="shared" si="1"/>
        <v>3.7156347826086966</v>
      </c>
      <c r="N17" s="2">
        <f t="shared" si="2"/>
        <v>1.8044473684210534</v>
      </c>
      <c r="O17" s="1">
        <v>19</v>
      </c>
      <c r="P17" s="1">
        <v>23</v>
      </c>
      <c r="Q17" s="1">
        <v>5</v>
      </c>
      <c r="R17" s="1">
        <v>14</v>
      </c>
      <c r="S17" s="1">
        <v>115</v>
      </c>
      <c r="T17" s="1">
        <v>1047</v>
      </c>
      <c r="U17" s="1">
        <v>293</v>
      </c>
      <c r="V17" s="1">
        <v>34592.490000000005</v>
      </c>
      <c r="W17" s="1">
        <v>28268.659999999993</v>
      </c>
      <c r="X17" s="1">
        <v>106733.53</v>
      </c>
      <c r="Y17" s="1">
        <v>77718.440000000061</v>
      </c>
      <c r="Z17" s="1">
        <v>137899.47000000009</v>
      </c>
    </row>
    <row r="18" spans="1:26" x14ac:dyDescent="0.3">
      <c r="A18" s="1">
        <v>2025</v>
      </c>
      <c r="B18" s="3" t="s">
        <v>4</v>
      </c>
      <c r="C18" s="2">
        <v>40.631</v>
      </c>
      <c r="D18" s="2">
        <v>748.17599999999914</v>
      </c>
      <c r="E18" s="2">
        <v>1362.604</v>
      </c>
      <c r="F18" s="1">
        <v>29</v>
      </c>
      <c r="G18" s="1">
        <v>220</v>
      </c>
      <c r="H18" s="1">
        <v>56</v>
      </c>
      <c r="I18" s="1">
        <v>19</v>
      </c>
      <c r="J18" s="1">
        <v>132</v>
      </c>
      <c r="K18" s="1">
        <v>31</v>
      </c>
      <c r="L18" s="2">
        <f t="shared" si="0"/>
        <v>24.332214285714286</v>
      </c>
      <c r="M18" s="2">
        <f t="shared" si="1"/>
        <v>3.4007999999999963</v>
      </c>
      <c r="N18" s="2">
        <f t="shared" si="2"/>
        <v>1.4010689655172415</v>
      </c>
      <c r="O18" s="1">
        <v>11</v>
      </c>
      <c r="P18" s="1">
        <v>21</v>
      </c>
      <c r="Q18" s="1">
        <v>4</v>
      </c>
      <c r="R18" s="1">
        <v>12</v>
      </c>
      <c r="S18" s="1">
        <v>158</v>
      </c>
      <c r="T18" s="1">
        <v>1013</v>
      </c>
      <c r="U18" s="1">
        <v>601</v>
      </c>
      <c r="V18" s="1">
        <v>30193.509999999995</v>
      </c>
      <c r="W18" s="1">
        <v>18845.91</v>
      </c>
      <c r="X18" s="1">
        <v>88865.719999999987</v>
      </c>
      <c r="Y18" s="1">
        <v>48687.259999999958</v>
      </c>
      <c r="Z18" s="1">
        <v>128020.26999999993</v>
      </c>
    </row>
    <row r="19" spans="1:26" x14ac:dyDescent="0.3">
      <c r="A19" s="1">
        <v>2025</v>
      </c>
      <c r="B19" s="3" t="s">
        <v>5</v>
      </c>
      <c r="C19" s="2">
        <v>71.90399999999994</v>
      </c>
      <c r="D19" s="2">
        <v>508.94900000000069</v>
      </c>
      <c r="E19" s="2">
        <v>1115.3670000000002</v>
      </c>
      <c r="F19" s="1">
        <v>40</v>
      </c>
      <c r="G19" s="1">
        <v>189</v>
      </c>
      <c r="H19" s="1">
        <v>27</v>
      </c>
      <c r="I19" s="1">
        <v>21</v>
      </c>
      <c r="J19" s="1">
        <v>115</v>
      </c>
      <c r="K19" s="1">
        <v>19</v>
      </c>
      <c r="L19" s="2">
        <f t="shared" si="0"/>
        <v>41.309888888888899</v>
      </c>
      <c r="M19" s="2">
        <f t="shared" si="1"/>
        <v>2.6928518518518554</v>
      </c>
      <c r="N19" s="2">
        <f t="shared" si="2"/>
        <v>1.7975999999999985</v>
      </c>
      <c r="O19" s="1">
        <v>7</v>
      </c>
      <c r="P19" s="1">
        <v>15</v>
      </c>
      <c r="Q19" s="1">
        <v>3</v>
      </c>
      <c r="R19" s="1">
        <v>8</v>
      </c>
      <c r="S19" s="1">
        <v>151</v>
      </c>
      <c r="T19" s="1">
        <v>748</v>
      </c>
      <c r="U19" s="1">
        <v>284</v>
      </c>
      <c r="V19" s="1">
        <v>37563.439999999995</v>
      </c>
      <c r="W19" s="1">
        <v>16954.889999999989</v>
      </c>
      <c r="X19" s="1">
        <v>64334.029999999955</v>
      </c>
      <c r="Y19" s="1">
        <v>27870.150000000016</v>
      </c>
      <c r="Z19" s="1">
        <v>82038.270000000062</v>
      </c>
    </row>
    <row r="20" spans="1:26" s="4" customFormat="1" x14ac:dyDescent="0.3">
      <c r="A20" s="4">
        <v>2025</v>
      </c>
      <c r="B20" s="5" t="s">
        <v>6</v>
      </c>
      <c r="C20" s="6">
        <v>84.676000000000002</v>
      </c>
      <c r="D20" s="6">
        <v>593.83699999999976</v>
      </c>
      <c r="E20" s="6">
        <v>4296.4740000000111</v>
      </c>
      <c r="F20" s="4">
        <v>44</v>
      </c>
      <c r="G20" s="4">
        <v>175</v>
      </c>
      <c r="H20" s="4">
        <v>73</v>
      </c>
      <c r="I20" s="4">
        <v>23</v>
      </c>
      <c r="J20" s="4">
        <v>114</v>
      </c>
      <c r="K20" s="4">
        <v>56</v>
      </c>
      <c r="L20" s="6">
        <f t="shared" si="0"/>
        <v>58.855808219178236</v>
      </c>
      <c r="M20" s="6">
        <f t="shared" si="1"/>
        <v>3.3933542857142842</v>
      </c>
      <c r="N20" s="6">
        <f t="shared" si="2"/>
        <v>1.9244545454545454</v>
      </c>
      <c r="O20" s="4">
        <v>21</v>
      </c>
      <c r="P20" s="4">
        <v>60</v>
      </c>
      <c r="Q20" s="4">
        <v>12</v>
      </c>
      <c r="R20" s="4">
        <v>5</v>
      </c>
      <c r="S20" s="4">
        <v>321</v>
      </c>
      <c r="T20" s="4">
        <v>981</v>
      </c>
      <c r="U20" s="4">
        <v>484</v>
      </c>
      <c r="V20" s="4">
        <v>33557.22</v>
      </c>
      <c r="W20" s="4">
        <v>59443.669999999984</v>
      </c>
      <c r="X20" s="4">
        <v>44323.840000000011</v>
      </c>
      <c r="Y20" s="4">
        <v>78858.49000000002</v>
      </c>
      <c r="Z20" s="4">
        <v>354103.43000000005</v>
      </c>
    </row>
    <row r="21" spans="1:26" x14ac:dyDescent="0.3">
      <c r="A21" s="1">
        <v>2025</v>
      </c>
      <c r="B21" s="3" t="s">
        <v>7</v>
      </c>
      <c r="C21" s="2">
        <v>85.487000000000094</v>
      </c>
      <c r="D21" s="2">
        <v>982.98700000000065</v>
      </c>
      <c r="E21" s="2">
        <v>2019.3870000000006</v>
      </c>
      <c r="F21" s="1">
        <v>37</v>
      </c>
      <c r="G21" s="1">
        <v>244</v>
      </c>
      <c r="H21" s="1">
        <v>46</v>
      </c>
      <c r="I21" s="1">
        <v>25</v>
      </c>
      <c r="J21" s="1">
        <v>169</v>
      </c>
      <c r="K21" s="1">
        <v>42</v>
      </c>
      <c r="L21" s="2">
        <f t="shared" si="0"/>
        <v>43.899717391304364</v>
      </c>
      <c r="M21" s="2">
        <f t="shared" si="1"/>
        <v>4.0286352459016417</v>
      </c>
      <c r="N21" s="2">
        <f t="shared" si="2"/>
        <v>2.3104594594594619</v>
      </c>
      <c r="O21" s="1">
        <v>14</v>
      </c>
      <c r="P21" s="1">
        <v>30</v>
      </c>
      <c r="Q21" s="1">
        <v>3</v>
      </c>
      <c r="R21" s="1">
        <v>16</v>
      </c>
      <c r="S21" s="1">
        <v>290</v>
      </c>
      <c r="T21" s="1">
        <v>953</v>
      </c>
      <c r="U21" s="1">
        <v>528</v>
      </c>
      <c r="V21" s="1">
        <v>37517.429999999993</v>
      </c>
      <c r="W21" s="1">
        <v>18331.840000000007</v>
      </c>
      <c r="X21" s="1">
        <v>127922.21000000002</v>
      </c>
      <c r="Y21" s="1">
        <v>62585.359999999957</v>
      </c>
      <c r="Z21" s="1">
        <v>209888.66000000006</v>
      </c>
    </row>
    <row r="22" spans="1:26" x14ac:dyDescent="0.3">
      <c r="A22" s="1">
        <v>2025</v>
      </c>
      <c r="B22" s="3" t="s">
        <v>8</v>
      </c>
      <c r="C22" s="2">
        <v>110.35099999999991</v>
      </c>
      <c r="D22" s="2">
        <v>622.72700000000202</v>
      </c>
      <c r="E22" s="2">
        <v>1337.9889999999998</v>
      </c>
      <c r="F22" s="1">
        <v>59</v>
      </c>
      <c r="G22" s="1">
        <v>145</v>
      </c>
      <c r="H22" s="1">
        <v>34</v>
      </c>
      <c r="I22" s="1">
        <v>28</v>
      </c>
      <c r="J22" s="1">
        <v>93</v>
      </c>
      <c r="K22" s="1">
        <v>22</v>
      </c>
      <c r="L22" s="2">
        <f t="shared" si="0"/>
        <v>39.352617647058821</v>
      </c>
      <c r="M22" s="2">
        <f t="shared" si="1"/>
        <v>4.2946689655172552</v>
      </c>
      <c r="N22" s="2">
        <f t="shared" si="2"/>
        <v>1.8703559322033885</v>
      </c>
      <c r="O22" s="1">
        <v>8</v>
      </c>
      <c r="P22" s="1">
        <v>18</v>
      </c>
      <c r="Q22" s="1">
        <v>3</v>
      </c>
      <c r="R22" s="1">
        <v>9</v>
      </c>
      <c r="S22" s="1">
        <v>272</v>
      </c>
      <c r="T22" s="1">
        <v>662</v>
      </c>
      <c r="U22" s="1">
        <v>244</v>
      </c>
      <c r="V22" s="1">
        <v>44168.62999999999</v>
      </c>
      <c r="W22" s="1">
        <v>20231.649999999994</v>
      </c>
      <c r="X22" s="1">
        <v>73449.98000000004</v>
      </c>
      <c r="Y22" s="1">
        <v>38418.390000000021</v>
      </c>
      <c r="Z22" s="1">
        <v>126327.81999999995</v>
      </c>
    </row>
    <row r="23" spans="1:26" x14ac:dyDescent="0.3">
      <c r="A23" s="1">
        <v>2025</v>
      </c>
      <c r="B23" s="3" t="s">
        <v>9</v>
      </c>
      <c r="C23" s="2">
        <v>54.267000000000024</v>
      </c>
      <c r="D23" s="2">
        <v>1006.7980000000003</v>
      </c>
      <c r="E23" s="2">
        <v>2678.4720000000011</v>
      </c>
      <c r="F23" s="1">
        <v>46</v>
      </c>
      <c r="G23" s="1">
        <v>308</v>
      </c>
      <c r="H23" s="1">
        <v>67</v>
      </c>
      <c r="I23" s="1">
        <v>20</v>
      </c>
      <c r="J23" s="1">
        <v>195</v>
      </c>
      <c r="K23" s="1">
        <v>42</v>
      </c>
      <c r="L23" s="2">
        <f t="shared" si="0"/>
        <v>39.977194029850764</v>
      </c>
      <c r="M23" s="2">
        <f t="shared" si="1"/>
        <v>3.2688246753246766</v>
      </c>
      <c r="N23" s="2">
        <f t="shared" si="2"/>
        <v>1.1797173913043484</v>
      </c>
      <c r="O23" s="1">
        <v>17</v>
      </c>
      <c r="P23" s="1">
        <v>37</v>
      </c>
      <c r="Q23" s="1">
        <v>5</v>
      </c>
      <c r="R23" s="1">
        <v>15</v>
      </c>
      <c r="S23" s="1">
        <v>187</v>
      </c>
      <c r="T23" s="1">
        <v>1009</v>
      </c>
      <c r="U23" s="1">
        <v>569</v>
      </c>
      <c r="V23" s="1">
        <v>37324.450000000004</v>
      </c>
      <c r="W23" s="1">
        <v>27775.240000000013</v>
      </c>
      <c r="X23" s="1">
        <v>132205.00999999995</v>
      </c>
      <c r="Y23" s="1">
        <v>78392.359999999957</v>
      </c>
      <c r="Z23" s="1">
        <v>247311.73</v>
      </c>
    </row>
    <row r="24" spans="1:26" x14ac:dyDescent="0.3">
      <c r="A24" s="1">
        <v>2025</v>
      </c>
      <c r="B24" s="3" t="s">
        <v>10</v>
      </c>
      <c r="C24" s="2">
        <v>44.67300000000003</v>
      </c>
      <c r="D24" s="2">
        <v>947.57099999999889</v>
      </c>
      <c r="E24" s="2">
        <v>2549.583000000001</v>
      </c>
      <c r="F24" s="1">
        <v>36</v>
      </c>
      <c r="G24" s="1">
        <v>247</v>
      </c>
      <c r="H24" s="1">
        <v>63</v>
      </c>
      <c r="I24" s="1">
        <v>21</v>
      </c>
      <c r="J24" s="1">
        <v>169</v>
      </c>
      <c r="K24" s="1">
        <v>48</v>
      </c>
      <c r="L24" s="2">
        <f t="shared" si="0"/>
        <v>40.469571428571442</v>
      </c>
      <c r="M24" s="2">
        <f t="shared" si="1"/>
        <v>3.8363198380566756</v>
      </c>
      <c r="N24" s="2">
        <f t="shared" si="2"/>
        <v>1.2409166666666676</v>
      </c>
      <c r="O24" s="1">
        <v>14</v>
      </c>
      <c r="P24" s="1">
        <v>37</v>
      </c>
      <c r="Q24" s="1">
        <v>1</v>
      </c>
      <c r="R24" s="1">
        <v>15</v>
      </c>
      <c r="S24" s="1">
        <v>155</v>
      </c>
      <c r="T24" s="1">
        <v>849</v>
      </c>
      <c r="U24" s="1">
        <v>640</v>
      </c>
      <c r="V24" s="1">
        <v>35669.040000000001</v>
      </c>
      <c r="W24" s="1">
        <v>6304.5499999999975</v>
      </c>
      <c r="X24" s="1">
        <v>135285.82</v>
      </c>
      <c r="Y24" s="1">
        <v>65194.240000000005</v>
      </c>
      <c r="Z24" s="1">
        <v>288345.40999999997</v>
      </c>
    </row>
    <row r="25" spans="1:26" x14ac:dyDescent="0.3">
      <c r="A25" s="1">
        <v>2025</v>
      </c>
      <c r="B25" s="3" t="s">
        <v>11</v>
      </c>
      <c r="C25" s="2">
        <v>38.583000000000048</v>
      </c>
      <c r="D25" s="2">
        <v>599.33499999999981</v>
      </c>
      <c r="E25" s="2">
        <v>1241.0870000000002</v>
      </c>
      <c r="F25" s="1">
        <v>20</v>
      </c>
      <c r="G25" s="1">
        <v>127</v>
      </c>
      <c r="H25" s="1">
        <v>33</v>
      </c>
      <c r="I25" s="1">
        <v>14</v>
      </c>
      <c r="J25" s="1">
        <v>88</v>
      </c>
      <c r="K25" s="1">
        <v>18</v>
      </c>
      <c r="L25" s="2">
        <f t="shared" si="0"/>
        <v>37.608696969696979</v>
      </c>
      <c r="M25" s="2">
        <f t="shared" si="1"/>
        <v>4.7191732283464551</v>
      </c>
      <c r="N25" s="2">
        <f t="shared" si="2"/>
        <v>1.9291500000000024</v>
      </c>
      <c r="O25" s="1">
        <v>3</v>
      </c>
      <c r="P25" s="1">
        <v>20</v>
      </c>
      <c r="Q25" s="1">
        <v>6</v>
      </c>
      <c r="R25" s="1">
        <v>8</v>
      </c>
      <c r="S25" s="1">
        <v>103</v>
      </c>
      <c r="T25" s="1">
        <v>451</v>
      </c>
      <c r="U25" s="1">
        <v>297</v>
      </c>
      <c r="V25" s="1">
        <v>24165.890000000007</v>
      </c>
      <c r="W25" s="1">
        <v>36429.009999999995</v>
      </c>
      <c r="X25" s="1">
        <v>69022.119999999981</v>
      </c>
      <c r="Y25" s="1">
        <v>14435.359999999971</v>
      </c>
      <c r="Z25" s="1">
        <v>135746.20999999985</v>
      </c>
    </row>
    <row r="26" spans="1:26" x14ac:dyDescent="0.3">
      <c r="A26" s="1">
        <v>2026</v>
      </c>
      <c r="B26" s="3" t="s">
        <v>0</v>
      </c>
      <c r="C26" s="2">
        <v>77.631000000000029</v>
      </c>
      <c r="D26" s="2">
        <v>504.54999999999961</v>
      </c>
      <c r="E26" s="2">
        <v>1434.9669999999996</v>
      </c>
      <c r="F26" s="1">
        <v>35</v>
      </c>
      <c r="G26" s="1">
        <v>141</v>
      </c>
      <c r="H26" s="1">
        <v>25</v>
      </c>
      <c r="I26" s="1">
        <v>25</v>
      </c>
      <c r="J26" s="1">
        <v>97</v>
      </c>
      <c r="K26" s="1">
        <v>23</v>
      </c>
      <c r="L26" s="2">
        <f t="shared" si="0"/>
        <v>57.398679999999985</v>
      </c>
      <c r="M26" s="2">
        <f t="shared" si="1"/>
        <v>3.5783687943262383</v>
      </c>
      <c r="N26" s="2">
        <f t="shared" si="2"/>
        <v>2.2180285714285723</v>
      </c>
      <c r="O26" s="1">
        <v>9</v>
      </c>
      <c r="P26" s="1">
        <v>24</v>
      </c>
      <c r="Q26" s="1">
        <v>3</v>
      </c>
      <c r="R26" s="1">
        <v>7</v>
      </c>
      <c r="S26" s="1">
        <v>101</v>
      </c>
      <c r="T26" s="1">
        <v>443</v>
      </c>
      <c r="U26" s="1">
        <v>346</v>
      </c>
      <c r="V26" s="1">
        <v>37083.69</v>
      </c>
      <c r="W26" s="1">
        <v>15718.670000000004</v>
      </c>
      <c r="X26" s="1">
        <v>56191.880000000034</v>
      </c>
      <c r="Y26" s="1">
        <v>51059.300000000017</v>
      </c>
      <c r="Z26" s="1">
        <v>188078.55000000002</v>
      </c>
    </row>
    <row r="27" spans="1:26" x14ac:dyDescent="0.3">
      <c r="A27" s="1">
        <v>2026</v>
      </c>
      <c r="B27" s="3" t="s">
        <v>1</v>
      </c>
      <c r="C27" s="2">
        <v>53.71600000000015</v>
      </c>
      <c r="D27" s="2">
        <v>524.92800000000057</v>
      </c>
      <c r="E27" s="2">
        <v>1196.8690000000006</v>
      </c>
      <c r="F27" s="1">
        <v>34</v>
      </c>
      <c r="G27" s="1">
        <v>114</v>
      </c>
      <c r="H27" s="1">
        <v>20</v>
      </c>
      <c r="I27" s="1">
        <v>21</v>
      </c>
      <c r="J27" s="1">
        <v>83</v>
      </c>
      <c r="K27" s="1">
        <v>23</v>
      </c>
      <c r="L27" s="2">
        <f t="shared" si="0"/>
        <v>59.843450000000033</v>
      </c>
      <c r="M27" s="2">
        <f t="shared" si="1"/>
        <v>4.6046315789473731</v>
      </c>
      <c r="N27" s="2">
        <f t="shared" si="2"/>
        <v>1.579882352941181</v>
      </c>
      <c r="O27" s="1">
        <v>6</v>
      </c>
      <c r="P27" s="1">
        <v>17</v>
      </c>
      <c r="Q27" s="1">
        <v>3</v>
      </c>
      <c r="R27" s="1">
        <v>8</v>
      </c>
      <c r="S27" s="1">
        <v>172</v>
      </c>
      <c r="T27" s="1">
        <v>542</v>
      </c>
      <c r="U27" s="1">
        <v>279</v>
      </c>
      <c r="V27" s="1">
        <v>26346.780000000002</v>
      </c>
      <c r="W27" s="1">
        <v>15637.860000000004</v>
      </c>
      <c r="X27" s="1">
        <v>55357.769999999931</v>
      </c>
      <c r="Y27" s="1">
        <v>23727.29</v>
      </c>
      <c r="Z27" s="1">
        <v>94124.889999999956</v>
      </c>
    </row>
    <row r="28" spans="1:26" s="4" customFormat="1" x14ac:dyDescent="0.3">
      <c r="A28" s="4">
        <v>2026</v>
      </c>
      <c r="B28" s="5" t="s">
        <v>2</v>
      </c>
      <c r="C28" s="6">
        <v>38.281999999999996</v>
      </c>
      <c r="D28" s="6">
        <v>392.613</v>
      </c>
      <c r="E28" s="6">
        <v>897.83200000000238</v>
      </c>
      <c r="F28" s="4">
        <v>21</v>
      </c>
      <c r="G28" s="4">
        <v>113</v>
      </c>
      <c r="H28" s="4">
        <v>16</v>
      </c>
      <c r="I28" s="4">
        <v>13</v>
      </c>
      <c r="J28" s="4">
        <v>75</v>
      </c>
      <c r="K28" s="4">
        <v>14</v>
      </c>
      <c r="L28" s="6">
        <f t="shared" si="0"/>
        <v>56.114500000000149</v>
      </c>
      <c r="M28" s="6">
        <f t="shared" si="1"/>
        <v>3.4744513274336284</v>
      </c>
      <c r="N28" s="6">
        <f t="shared" si="2"/>
        <v>1.8229523809523809</v>
      </c>
      <c r="O28" s="4">
        <v>3</v>
      </c>
      <c r="P28" s="4">
        <v>14</v>
      </c>
      <c r="Q28" s="4">
        <v>5</v>
      </c>
      <c r="R28" s="4">
        <v>5</v>
      </c>
      <c r="S28" s="4">
        <v>109</v>
      </c>
      <c r="T28" s="4">
        <v>346</v>
      </c>
      <c r="U28" s="4">
        <v>195</v>
      </c>
      <c r="V28" s="4">
        <v>23021.63</v>
      </c>
      <c r="W28" s="4">
        <v>21412.960000000006</v>
      </c>
      <c r="X28" s="4">
        <v>33014.240000000005</v>
      </c>
      <c r="Y28" s="4">
        <v>11698.259999999997</v>
      </c>
      <c r="Z28" s="4">
        <v>80278.86</v>
      </c>
    </row>
    <row r="29" spans="1:26" s="4" customFormat="1" x14ac:dyDescent="0.3">
      <c r="A29" s="4">
        <v>2026</v>
      </c>
      <c r="B29" s="5" t="s">
        <v>3</v>
      </c>
      <c r="C29" s="6">
        <v>67.844000000000037</v>
      </c>
      <c r="D29" s="6">
        <v>455.5950000000006</v>
      </c>
      <c r="E29" s="6">
        <v>1487.8360000000011</v>
      </c>
      <c r="F29" s="7">
        <v>22</v>
      </c>
      <c r="G29" s="4">
        <v>135</v>
      </c>
      <c r="H29" s="7">
        <v>40</v>
      </c>
      <c r="I29" s="4">
        <v>17</v>
      </c>
      <c r="J29" s="4">
        <v>89</v>
      </c>
      <c r="K29" s="4">
        <v>24</v>
      </c>
      <c r="L29" s="6">
        <f t="shared" ref="L29" si="3">E29/H29</f>
        <v>37.19590000000003</v>
      </c>
      <c r="M29" s="6">
        <f t="shared" ref="M29" si="4">D29/G29</f>
        <v>3.3747777777777821</v>
      </c>
      <c r="N29" s="6">
        <f t="shared" ref="N29" si="5">C29/F29</f>
        <v>3.0838181818181836</v>
      </c>
      <c r="O29" s="4">
        <v>11</v>
      </c>
      <c r="P29" s="4">
        <v>24</v>
      </c>
      <c r="Q29" s="4">
        <v>1</v>
      </c>
      <c r="R29" s="4">
        <v>8</v>
      </c>
      <c r="S29" s="4">
        <v>74</v>
      </c>
      <c r="T29" s="4">
        <v>478</v>
      </c>
      <c r="U29" s="4">
        <v>470</v>
      </c>
    </row>
    <row r="30" spans="1:26" x14ac:dyDescent="0.3">
      <c r="A30" s="1">
        <v>2026</v>
      </c>
      <c r="B30" s="3" t="s">
        <v>4</v>
      </c>
    </row>
    <row r="31" spans="1:26" x14ac:dyDescent="0.3">
      <c r="A31" s="1">
        <v>2026</v>
      </c>
      <c r="B31" s="3" t="s">
        <v>5</v>
      </c>
    </row>
    <row r="32" spans="1:26" x14ac:dyDescent="0.3">
      <c r="A32" s="1">
        <v>2026</v>
      </c>
      <c r="B32" s="3" t="s">
        <v>6</v>
      </c>
    </row>
    <row r="33" spans="1:2" x14ac:dyDescent="0.3">
      <c r="A33" s="1">
        <v>2026</v>
      </c>
      <c r="B33" s="3" t="s">
        <v>7</v>
      </c>
    </row>
    <row r="34" spans="1:2" x14ac:dyDescent="0.3">
      <c r="A34" s="1">
        <v>2026</v>
      </c>
      <c r="B34" s="3" t="s">
        <v>8</v>
      </c>
    </row>
    <row r="35" spans="1:2" x14ac:dyDescent="0.3">
      <c r="A35" s="1">
        <v>2026</v>
      </c>
      <c r="B35" s="3" t="s">
        <v>9</v>
      </c>
    </row>
    <row r="36" spans="1:2" x14ac:dyDescent="0.3">
      <c r="A36" s="1">
        <v>2026</v>
      </c>
      <c r="B36" s="3" t="s">
        <v>10</v>
      </c>
    </row>
    <row r="37" spans="1:2" x14ac:dyDescent="0.3">
      <c r="A37" s="1">
        <v>2026</v>
      </c>
      <c r="B37" s="3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B62E04-9788-493E-BFCA-CC08255D61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Feng</dc:creator>
  <cp:lastModifiedBy>Jun</cp:lastModifiedBy>
  <dcterms:created xsi:type="dcterms:W3CDTF">2015-06-05T18:17:20Z</dcterms:created>
  <dcterms:modified xsi:type="dcterms:W3CDTF">2026-05-06T10:50:03Z</dcterms:modified>
</cp:coreProperties>
</file>